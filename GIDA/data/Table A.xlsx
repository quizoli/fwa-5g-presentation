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ble A" sheetId="1" state="visible" r:id="rId1"/>
  </sheets>
  <definedNames/>
  <calcPr calcId="191029" fullCalcOnLoad="1"/>
</workbook>
</file>

<file path=xl/styles.xml><?xml version="1.0" encoding="utf-8"?>
<styleSheet xmlns="http://schemas.openxmlformats.org/spreadsheetml/2006/main">
  <numFmts count="4">
    <numFmt numFmtId="164" formatCode="_-* #,##0_-;\-* #,##0_-;_-* &quot;-&quot;??_-;_-@_-"/>
    <numFmt numFmtId="165" formatCode="_-* #,##0.00_-;\-* #,##0.00_-;_-* &quot;-&quot;??_-;_-@"/>
    <numFmt numFmtId="166" formatCode="_-* #,##0.00_-;\-* #,##0.00_-;_-* &quot;-&quot;??_-;_-@_-"/>
    <numFmt numFmtId="167" formatCode="0.0"/>
  </numFmts>
  <fonts count="9">
    <font>
      <name val="Aptos Narrow"/>
      <color theme="1"/>
      <sz val="11"/>
      <scheme val="minor"/>
    </font>
    <font>
      <name val="Aptos Narrow"/>
      <family val="2"/>
      <color theme="1"/>
      <sz val="11"/>
      <scheme val="minor"/>
    </font>
    <font>
      <name val="Arial"/>
      <family val="2"/>
      <color theme="1"/>
      <sz val="12"/>
    </font>
    <font>
      <name val="Arial"/>
      <family val="2"/>
      <b val="1"/>
      <color theme="1"/>
      <sz val="12"/>
    </font>
    <font>
      <name val="Arial"/>
      <family val="2"/>
      <b val="1"/>
      <color theme="1"/>
      <sz val="12"/>
      <vertAlign val="superscript"/>
    </font>
    <font>
      <name val="Arial"/>
      <family val="2"/>
      <sz val="12"/>
    </font>
    <font>
      <name val="Arial"/>
      <family val="2"/>
      <b val="1"/>
      <color rgb="FF000000"/>
      <sz val="12"/>
    </font>
    <font>
      <name val="Arial"/>
      <family val="2"/>
      <color rgb="FF000000"/>
      <sz val="12"/>
    </font>
    <font>
      <name val="Arial"/>
      <family val="2"/>
      <i val="1"/>
      <color theme="1"/>
      <sz val="9"/>
    </font>
  </fonts>
  <fills count="2">
    <fill>
      <patternFill/>
    </fill>
    <fill>
      <patternFill patternType="gray125"/>
    </fill>
  </fills>
  <borders count="14">
    <border>
      <left/>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medium">
        <color rgb="FF000000"/>
      </left>
      <right/>
      <top/>
      <bottom/>
      <diagonal/>
    </border>
    <border>
      <left style="medium">
        <color rgb="FF000000"/>
      </left>
      <right style="medium">
        <color rgb="FF000000"/>
      </right>
      <top/>
      <bottom/>
      <diagonal/>
    </border>
  </borders>
  <cellStyleXfs count="2">
    <xf numFmtId="0" fontId="0" fillId="0" borderId="0"/>
    <xf numFmtId="43" fontId="1" fillId="0" borderId="0"/>
  </cellStyleXfs>
  <cellXfs count="63">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wrapText="1"/>
    </xf>
    <xf numFmtId="0" fontId="3" fillId="0" borderId="0"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5" fillId="0" borderId="3" pivotButton="0" quotePrefix="0" xfId="0"/>
    <xf numFmtId="0" fontId="5" fillId="0" borderId="4" pivotButton="0" quotePrefix="0" xfId="0"/>
    <xf numFmtId="0" fontId="3" fillId="0" borderId="3" applyAlignment="1" pivotButton="0" quotePrefix="0" xfId="0">
      <alignment horizontal="center" vertical="center" wrapText="1"/>
    </xf>
    <xf numFmtId="0" fontId="2" fillId="0" borderId="0" applyAlignment="1" pivotButton="0" quotePrefix="0" xfId="0">
      <alignment vertical="center"/>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49"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5" fillId="0" borderId="8" pivotButton="0" quotePrefix="0" xfId="0"/>
    <xf numFmtId="0" fontId="3" fillId="0" borderId="9" applyAlignment="1" pivotButton="0" quotePrefix="0" xfId="0">
      <alignment horizontal="center" vertical="center"/>
    </xf>
    <xf numFmtId="0" fontId="3" fillId="0" borderId="2"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1">
      <alignment horizontal="left" indent="2"/>
    </xf>
    <xf numFmtId="164" fontId="6" fillId="0" borderId="0" applyAlignment="1" pivotButton="0" quotePrefix="0" xfId="1">
      <alignment horizontal="left" vertical="center" indent="2"/>
    </xf>
    <xf numFmtId="165" fontId="3" fillId="0" borderId="0" applyAlignment="1" pivotButton="0" quotePrefix="0" xfId="0">
      <alignment horizontal="right" vertical="center"/>
    </xf>
    <xf numFmtId="0" fontId="3" fillId="0" borderId="0" applyAlignment="1" pivotButton="0" quotePrefix="0" xfId="0">
      <alignment horizontal="right" vertical="center"/>
    </xf>
    <xf numFmtId="165" fontId="3" fillId="0" borderId="0" pivotButton="0" quotePrefix="0" xfId="0"/>
    <xf numFmtId="166" fontId="3" fillId="0" borderId="0" pivotButton="0" quotePrefix="0" xfId="1"/>
    <xf numFmtId="167" fontId="3" fillId="0" borderId="0" pivotButton="0" quotePrefix="0" xfId="0"/>
    <xf numFmtId="0" fontId="7" fillId="0" borderId="0" applyAlignment="1" pivotButton="0" quotePrefix="0" xfId="0">
      <alignment horizontal="left" vertical="center" indent="1"/>
    </xf>
    <xf numFmtId="164" fontId="2" fillId="0" borderId="0" applyAlignment="1" pivotButton="0" quotePrefix="0" xfId="1">
      <alignment horizontal="left" indent="2"/>
    </xf>
    <xf numFmtId="164" fontId="7" fillId="0" borderId="0" applyAlignment="1" pivotButton="0" quotePrefix="0" xfId="1">
      <alignment horizontal="left" vertical="center" indent="2"/>
    </xf>
    <xf numFmtId="165" fontId="2" fillId="0" borderId="0" applyAlignment="1" pivotButton="0" quotePrefix="0" xfId="0">
      <alignment horizontal="right" vertical="center"/>
    </xf>
    <xf numFmtId="0" fontId="2" fillId="0" borderId="0" applyAlignment="1" pivotButton="0" quotePrefix="0" xfId="0">
      <alignment horizontal="right" vertical="center"/>
    </xf>
    <xf numFmtId="4" fontId="2" fillId="0" borderId="0" applyAlignment="1" pivotButton="0" quotePrefix="0" xfId="0">
      <alignment horizontal="right" vertical="center"/>
    </xf>
    <xf numFmtId="166" fontId="2" fillId="0" borderId="0" pivotButton="0" quotePrefix="0" xfId="1"/>
    <xf numFmtId="167" fontId="2" fillId="0" borderId="0" pivotButton="0" quotePrefix="0" xfId="0"/>
    <xf numFmtId="0" fontId="7" fillId="0" borderId="10" applyAlignment="1" pivotButton="0" quotePrefix="0" xfId="0">
      <alignment horizontal="left" vertical="center" indent="1"/>
    </xf>
    <xf numFmtId="164" fontId="2" fillId="0" borderId="10" applyAlignment="1" pivotButton="0" quotePrefix="0" xfId="1">
      <alignment horizontal="left" indent="2"/>
    </xf>
    <xf numFmtId="164" fontId="7" fillId="0" borderId="10" applyAlignment="1" pivotButton="0" quotePrefix="0" xfId="1">
      <alignment horizontal="left" vertical="center" indent="2"/>
    </xf>
    <xf numFmtId="165" fontId="2" fillId="0" borderId="10" applyAlignment="1" pivotButton="0" quotePrefix="0" xfId="0">
      <alignment horizontal="right" vertical="center"/>
    </xf>
    <xf numFmtId="0" fontId="2" fillId="0" borderId="10" applyAlignment="1" pivotButton="0" quotePrefix="0" xfId="0">
      <alignment horizontal="right" vertical="center"/>
    </xf>
    <xf numFmtId="4" fontId="2" fillId="0" borderId="10" applyAlignment="1" pivotButton="0" quotePrefix="0" xfId="0">
      <alignment horizontal="right" vertical="center"/>
    </xf>
    <xf numFmtId="166" fontId="2" fillId="0" borderId="10" pivotButton="0" quotePrefix="0" xfId="1"/>
    <xf numFmtId="167" fontId="2" fillId="0" borderId="10" pivotButton="0" quotePrefix="0" xfId="0"/>
    <xf numFmtId="0" fontId="8" fillId="0" borderId="0" pivotButton="0" quotePrefix="0" xfId="0"/>
    <xf numFmtId="165" fontId="2" fillId="0" borderId="0" pivotButton="0" quotePrefix="0" xfId="0"/>
    <xf numFmtId="165" fontId="7" fillId="0" borderId="0" applyAlignment="1" pivotButton="0" quotePrefix="0" xfId="0">
      <alignment horizontal="right" vertical="center"/>
    </xf>
    <xf numFmtId="4" fontId="2" fillId="0" borderId="0" pivotButton="0" quotePrefix="0" xfId="0"/>
    <xf numFmtId="0" fontId="3" fillId="0" borderId="4" applyAlignment="1" pivotButton="0" quotePrefix="0" xfId="0">
      <alignment horizontal="center" vertical="center" wrapText="1"/>
    </xf>
    <xf numFmtId="0" fontId="3" fillId="0" borderId="9"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xf numFmtId="49" fontId="3" fillId="0" borderId="9" applyAlignment="1" pivotButton="0" quotePrefix="0" xfId="0">
      <alignment horizontal="center" vertical="center" wrapText="1"/>
    </xf>
    <xf numFmtId="0" fontId="0" fillId="0" borderId="7" pivotButton="0" quotePrefix="0" xfId="0"/>
    <xf numFmtId="0" fontId="0" fillId="0" borderId="8" pivotButton="0" quotePrefix="0" xfId="0"/>
    <xf numFmtId="166" fontId="3" fillId="0" borderId="0" pivotButton="0" quotePrefix="0" xfId="1"/>
    <xf numFmtId="167" fontId="3" fillId="0" borderId="0" pivotButton="0" quotePrefix="0" xfId="0"/>
    <xf numFmtId="166" fontId="2" fillId="0" borderId="0" pivotButton="0" quotePrefix="0" xfId="1"/>
    <xf numFmtId="167" fontId="2" fillId="0" borderId="0" pivotButton="0" quotePrefix="0" xfId="0"/>
    <xf numFmtId="166" fontId="2" fillId="0" borderId="10" pivotButton="0" quotePrefix="0" xfId="1"/>
    <xf numFmtId="167" fontId="2" fillId="0" borderId="10" pivotButton="0" quotePrefix="0" xfId="0"/>
  </cellXfs>
  <cellStyles count="2">
    <cellStyle name="Normal" xfId="0" builtinId="0"/>
    <cellStyle name="Comma" xfId="1" builtinId="3"/>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R22"/>
  <sheetViews>
    <sheetView showGridLines="0" tabSelected="1" zoomScale="75" zoomScaleNormal="110" workbookViewId="0">
      <selection activeCell="B1" sqref="B1:Q1"/>
    </sheetView>
  </sheetViews>
  <sheetFormatPr baseColWidth="8" defaultColWidth="12.7109375" defaultRowHeight="15" customHeight="1"/>
  <cols>
    <col width="5.7109375" customWidth="1" style="3" min="1" max="1"/>
    <col width="31.28515625" customWidth="1" style="3" min="2" max="2"/>
    <col width="16.7109375" customWidth="1" style="3" min="3" max="5"/>
    <col width="16.140625" customWidth="1" style="3" min="6" max="11"/>
    <col width="15.28515625" customWidth="1" style="3" min="12" max="17"/>
    <col width="12.7109375" customWidth="1" style="3" min="18" max="16384"/>
  </cols>
  <sheetData>
    <row r="1" ht="18.75" customHeight="1">
      <c r="A1" s="1" t="n"/>
      <c r="B1" s="2" t="inlineStr">
        <is>
          <t>Table A. Number of Families, Average Annual Family Income and Expenditure by Income Decile, Philippines:  2021, 2023, and 2025P</t>
        </is>
      </c>
    </row>
    <row r="2" ht="16.5" customHeight="1" thickBot="1">
      <c r="B2" s="4" t="n"/>
      <c r="C2" s="4" t="n"/>
      <c r="D2" s="4" t="n"/>
      <c r="E2" s="4" t="n"/>
      <c r="F2" s="4" t="n"/>
      <c r="G2" s="4" t="n"/>
      <c r="H2" s="4" t="n"/>
      <c r="I2" s="5" t="n"/>
    </row>
    <row r="3" ht="39.6" customHeight="1" thickBot="1">
      <c r="B3" s="49" t="inlineStr">
        <is>
          <t>Income Decile</t>
        </is>
      </c>
      <c r="C3" s="50" t="inlineStr">
        <is>
          <t>Number of Families 
(In thousands)</t>
        </is>
      </c>
      <c r="D3" s="51" t="n"/>
      <c r="E3" s="52" t="n"/>
      <c r="F3" s="50" t="inlineStr">
        <is>
          <t>Average Annual Family Income
(in thousand PhP)</t>
        </is>
      </c>
      <c r="G3" s="51" t="n"/>
      <c r="H3" s="52" t="n"/>
      <c r="I3" s="50" t="inlineStr">
        <is>
          <t>Average Annual Family Expenditure
(in thousand PhP)</t>
        </is>
      </c>
      <c r="J3" s="51" t="n"/>
      <c r="K3" s="52" t="n"/>
      <c r="L3" s="10" t="inlineStr">
        <is>
          <t>Percent Change (%)</t>
        </is>
      </c>
      <c r="M3" s="51" t="n"/>
      <c r="N3" s="51" t="n"/>
      <c r="O3" s="51" t="n"/>
      <c r="P3" s="51" t="n"/>
      <c r="Q3" s="51" t="n"/>
    </row>
    <row r="4" ht="40.9" customHeight="1" thickBot="1">
      <c r="A4" s="11" t="n"/>
      <c r="B4" s="53" t="n"/>
      <c r="C4" s="50" t="n">
        <v>2021</v>
      </c>
      <c r="D4" s="50" t="n">
        <v>2023</v>
      </c>
      <c r="E4" s="54" t="inlineStr">
        <is>
          <t>2025ᴾ</t>
        </is>
      </c>
      <c r="F4" s="50" t="n">
        <v>2021</v>
      </c>
      <c r="G4" s="50" t="n">
        <v>2023</v>
      </c>
      <c r="H4" s="54" t="inlineStr">
        <is>
          <t>2025ᴾ</t>
        </is>
      </c>
      <c r="I4" s="50" t="n">
        <v>2021</v>
      </c>
      <c r="J4" s="50" t="n">
        <v>2023</v>
      </c>
      <c r="K4" s="54" t="inlineStr">
        <is>
          <t>2025ᴾ</t>
        </is>
      </c>
      <c r="L4" s="49" t="inlineStr">
        <is>
          <t>Number of Families</t>
        </is>
      </c>
      <c r="M4" s="52" t="n"/>
      <c r="N4" s="49" t="inlineStr">
        <is>
          <t>Average Annual Family Income</t>
        </is>
      </c>
      <c r="O4" s="52" t="n"/>
      <c r="P4" s="10" t="inlineStr">
        <is>
          <t>Average Annual Family Expenditure</t>
        </is>
      </c>
      <c r="Q4" s="51" t="n"/>
      <c r="R4" s="11" t="n"/>
    </row>
    <row r="5" ht="31.15" customHeight="1" thickBot="1">
      <c r="B5" s="55" t="n"/>
      <c r="C5" s="56" t="n"/>
      <c r="D5" s="56" t="n"/>
      <c r="E5" s="56" t="n"/>
      <c r="F5" s="56" t="n"/>
      <c r="G5" s="56" t="n"/>
      <c r="H5" s="56" t="n"/>
      <c r="I5" s="56" t="n"/>
      <c r="J5" s="56" t="n"/>
      <c r="K5" s="56" t="n"/>
      <c r="L5" s="17" t="inlineStr">
        <is>
          <t>2021-2023</t>
        </is>
      </c>
      <c r="M5" s="17" t="inlineStr">
        <is>
          <t>2023-2025</t>
        </is>
      </c>
      <c r="N5" s="17" t="inlineStr">
        <is>
          <t>2021-2023</t>
        </is>
      </c>
      <c r="O5" s="17" t="inlineStr">
        <is>
          <t>2023-2025</t>
        </is>
      </c>
      <c r="P5" s="17" t="inlineStr">
        <is>
          <t>2021-2023</t>
        </is>
      </c>
      <c r="Q5" s="18" t="inlineStr">
        <is>
          <t>2023-2025</t>
        </is>
      </c>
    </row>
    <row r="6" ht="4.9" customHeight="1">
      <c r="B6" s="19" t="n"/>
      <c r="L6" s="20" t="n"/>
      <c r="M6" s="20" t="n"/>
      <c r="N6" s="20" t="n"/>
      <c r="O6" s="20" t="n"/>
      <c r="P6" s="20" t="n"/>
      <c r="Q6" s="20" t="n"/>
    </row>
    <row r="7" ht="15.75" customHeight="1">
      <c r="B7" s="21" t="inlineStr">
        <is>
          <t>All Income Groups</t>
        </is>
      </c>
      <c r="C7" s="22" t="n">
        <v>26397.47</v>
      </c>
      <c r="D7" s="23" t="n">
        <v>27479.7</v>
      </c>
      <c r="E7" s="22" t="n">
        <v>29562.7</v>
      </c>
      <c r="F7" s="24" t="n">
        <v>307.19</v>
      </c>
      <c r="G7" s="25" t="n">
        <v>353.23</v>
      </c>
      <c r="H7" s="26" t="n">
        <v>411.35</v>
      </c>
      <c r="I7" s="57" t="n">
        <v>228.8</v>
      </c>
      <c r="J7" s="57" t="n">
        <v>258.05</v>
      </c>
      <c r="K7" s="57" t="n">
        <v>321.85</v>
      </c>
      <c r="L7" s="58">
        <f>((D7/C7)-1)*100</f>
        <v/>
      </c>
      <c r="M7" s="58">
        <f>((E7/D7)-1)*100</f>
        <v/>
      </c>
      <c r="N7" s="58">
        <f>((G7/F7)-1)*100</f>
        <v/>
      </c>
      <c r="O7" s="58">
        <f>((H7/G7)-1)*100</f>
        <v/>
      </c>
      <c r="P7" s="58">
        <f>((J7/I7)-1)*100</f>
        <v/>
      </c>
      <c r="Q7" s="58">
        <f>((K7/J7)-1)*100</f>
        <v/>
      </c>
    </row>
    <row r="8">
      <c r="B8" s="29" t="inlineStr">
        <is>
          <t>First Decile</t>
        </is>
      </c>
      <c r="C8" s="30" t="n">
        <v>2639.67</v>
      </c>
      <c r="D8" s="31" t="n">
        <v>2747.64</v>
      </c>
      <c r="E8" s="30" t="n">
        <v>2956.24</v>
      </c>
      <c r="F8" s="32" t="n">
        <v>116.02</v>
      </c>
      <c r="G8" s="33" t="n">
        <v>143.28</v>
      </c>
      <c r="H8" s="34" t="n">
        <v>170.58</v>
      </c>
      <c r="I8" s="59" t="n">
        <v>103.89</v>
      </c>
      <c r="J8" s="59" t="n">
        <v>127.86</v>
      </c>
      <c r="K8" s="59" t="n">
        <v>155.6</v>
      </c>
      <c r="L8" s="60">
        <f>((D8/C8)-1)*100</f>
        <v/>
      </c>
      <c r="M8" s="60">
        <f>((E8/D8)-1)*100</f>
        <v/>
      </c>
      <c r="N8" s="60">
        <f>((G8/F8)-1)*100</f>
        <v/>
      </c>
      <c r="O8" s="60">
        <f>((H8/G8)-1)*100</f>
        <v/>
      </c>
      <c r="P8" s="60">
        <f>((J8/I8)-1)*100</f>
        <v/>
      </c>
      <c r="Q8" s="60">
        <f>((K8/J8)-1)*100</f>
        <v/>
      </c>
    </row>
    <row r="9">
      <c r="B9" s="29" t="inlineStr">
        <is>
          <t>Second Decile</t>
        </is>
      </c>
      <c r="C9" s="30" t="n">
        <v>2639.77</v>
      </c>
      <c r="D9" s="31" t="n">
        <v>2748.3</v>
      </c>
      <c r="E9" s="30" t="n">
        <v>2956</v>
      </c>
      <c r="F9" s="32" t="n">
        <v>152.14</v>
      </c>
      <c r="G9" s="33" t="n">
        <v>182.61</v>
      </c>
      <c r="H9" s="34" t="n">
        <v>215.11</v>
      </c>
      <c r="I9" s="59" t="n">
        <v>129.87</v>
      </c>
      <c r="J9" s="59" t="n">
        <v>154.68</v>
      </c>
      <c r="K9" s="59" t="n">
        <v>189.33</v>
      </c>
      <c r="L9" s="60">
        <f>((D9/C9)-1)*100</f>
        <v/>
      </c>
      <c r="M9" s="60">
        <f>((E9/D9)-1)*100</f>
        <v/>
      </c>
      <c r="N9" s="60">
        <f>((G9/F9)-1)*100</f>
        <v/>
      </c>
      <c r="O9" s="60">
        <f>((H9/G9)-1)*100</f>
        <v/>
      </c>
      <c r="P9" s="60">
        <f>((J9/I9)-1)*100</f>
        <v/>
      </c>
      <c r="Q9" s="60">
        <f>((K9/J9)-1)*100</f>
        <v/>
      </c>
    </row>
    <row r="10">
      <c r="B10" s="29" t="inlineStr">
        <is>
          <t>Third Decile</t>
        </is>
      </c>
      <c r="C10" s="30" t="n">
        <v>2639.31</v>
      </c>
      <c r="D10" s="31" t="n">
        <v>2747.87</v>
      </c>
      <c r="E10" s="30" t="n">
        <v>2956.42</v>
      </c>
      <c r="F10" s="32" t="n">
        <v>175.86</v>
      </c>
      <c r="G10" s="33" t="n">
        <v>208.43</v>
      </c>
      <c r="H10" s="34" t="n">
        <v>244.92</v>
      </c>
      <c r="I10" s="59" t="n">
        <v>146.89</v>
      </c>
      <c r="J10" s="59" t="n">
        <v>172.49</v>
      </c>
      <c r="K10" s="59" t="n">
        <v>212.64</v>
      </c>
      <c r="L10" s="60">
        <f>((D10/C10)-1)*100</f>
        <v/>
      </c>
      <c r="M10" s="60">
        <f>((E10/D10)-1)*100</f>
        <v/>
      </c>
      <c r="N10" s="60">
        <f>((G10/F10)-1)*100</f>
        <v/>
      </c>
      <c r="O10" s="60">
        <f>((H10/G10)-1)*100</f>
        <v/>
      </c>
      <c r="P10" s="60">
        <f>((J10/I10)-1)*100</f>
        <v/>
      </c>
      <c r="Q10" s="60">
        <f>((K10/J10)-1)*100</f>
        <v/>
      </c>
    </row>
    <row r="11">
      <c r="B11" s="29" t="inlineStr">
        <is>
          <t>Fourth Decile</t>
        </is>
      </c>
      <c r="C11" s="30" t="n">
        <v>2640.14</v>
      </c>
      <c r="D11" s="31" t="n">
        <v>2747.98</v>
      </c>
      <c r="E11" s="30" t="n">
        <v>2956.08</v>
      </c>
      <c r="F11" s="32" t="n">
        <v>202.66</v>
      </c>
      <c r="G11" s="33" t="n">
        <v>241.18</v>
      </c>
      <c r="H11" s="34" t="n">
        <v>277.03</v>
      </c>
      <c r="I11" s="59" t="n">
        <v>166.64</v>
      </c>
      <c r="J11" s="59" t="n">
        <v>195.6</v>
      </c>
      <c r="K11" s="59" t="n">
        <v>236.74</v>
      </c>
      <c r="L11" s="60">
        <f>((D11/C11)-1)*100</f>
        <v/>
      </c>
      <c r="M11" s="60">
        <f>((E11/D11)-1)*100</f>
        <v/>
      </c>
      <c r="N11" s="60">
        <f>((G11/F11)-1)*100</f>
        <v/>
      </c>
      <c r="O11" s="60">
        <f>((H11/G11)-1)*100</f>
        <v/>
      </c>
      <c r="P11" s="60">
        <f>((J11/I11)-1)*100</f>
        <v/>
      </c>
      <c r="Q11" s="60">
        <f>((K11/J11)-1)*100</f>
        <v/>
      </c>
    </row>
    <row r="12">
      <c r="B12" s="29" t="inlineStr">
        <is>
          <t>Fifth Decile</t>
        </is>
      </c>
      <c r="C12" s="30" t="n">
        <v>2639.73</v>
      </c>
      <c r="D12" s="31" t="n">
        <v>2747.63</v>
      </c>
      <c r="E12" s="30" t="n">
        <v>2956.61</v>
      </c>
      <c r="F12" s="32" t="n">
        <v>227.68</v>
      </c>
      <c r="G12" s="33" t="n">
        <v>272.09</v>
      </c>
      <c r="H12" s="34" t="n">
        <v>317.72</v>
      </c>
      <c r="I12" s="59" t="n">
        <v>184.15</v>
      </c>
      <c r="J12" s="59" t="n">
        <v>216.19</v>
      </c>
      <c r="K12" s="59" t="n">
        <v>267.15</v>
      </c>
      <c r="L12" s="60">
        <f>((D12/C12)-1)*100</f>
        <v/>
      </c>
      <c r="M12" s="60">
        <f>((E12/D12)-1)*100</f>
        <v/>
      </c>
      <c r="N12" s="60">
        <f>((G12/F12)-1)*100</f>
        <v/>
      </c>
      <c r="O12" s="60">
        <f>((H12/G12)-1)*100</f>
        <v/>
      </c>
      <c r="P12" s="60">
        <f>((J12/I12)-1)*100</f>
        <v/>
      </c>
      <c r="Q12" s="60">
        <f>((K12/J12)-1)*100</f>
        <v/>
      </c>
    </row>
    <row r="13">
      <c r="B13" s="29" t="inlineStr">
        <is>
          <t>Sixth Decile</t>
        </is>
      </c>
      <c r="C13" s="30" t="n">
        <v>2639.75</v>
      </c>
      <c r="D13" s="31" t="n">
        <v>2748.34</v>
      </c>
      <c r="E13" s="30" t="n">
        <v>2956.26</v>
      </c>
      <c r="F13" s="32" t="n">
        <v>261.78</v>
      </c>
      <c r="G13" s="33" t="n">
        <v>308.69</v>
      </c>
      <c r="H13" s="34" t="n">
        <v>360.97</v>
      </c>
      <c r="I13" s="59" t="n">
        <v>207.93</v>
      </c>
      <c r="J13" s="59" t="n">
        <v>239.51</v>
      </c>
      <c r="K13" s="59" t="n">
        <v>298.72</v>
      </c>
      <c r="L13" s="60">
        <f>((D13/C13)-1)*100</f>
        <v/>
      </c>
      <c r="M13" s="60">
        <f>((E13/D13)-1)*100</f>
        <v/>
      </c>
      <c r="N13" s="60">
        <f>((G13/F13)-1)*100</f>
        <v/>
      </c>
      <c r="O13" s="60">
        <f>((H13/G13)-1)*100</f>
        <v/>
      </c>
      <c r="P13" s="60">
        <f>((J13/I13)-1)*100</f>
        <v/>
      </c>
      <c r="Q13" s="60">
        <f>((K13/J13)-1)*100</f>
        <v/>
      </c>
    </row>
    <row r="14">
      <c r="B14" s="29" t="inlineStr">
        <is>
          <t>Seventh Decile</t>
        </is>
      </c>
      <c r="C14" s="30" t="n">
        <v>2639.82</v>
      </c>
      <c r="D14" s="31" t="n">
        <v>2747.85</v>
      </c>
      <c r="E14" s="30" t="n">
        <v>2956.05</v>
      </c>
      <c r="F14" s="32" t="n">
        <v>302.94</v>
      </c>
      <c r="G14" s="33" t="n">
        <v>351.73</v>
      </c>
      <c r="H14" s="34" t="n">
        <v>415.43</v>
      </c>
      <c r="I14" s="59" t="n">
        <v>235.88</v>
      </c>
      <c r="J14" s="59" t="n">
        <v>266.23</v>
      </c>
      <c r="K14" s="59" t="n">
        <v>336.42</v>
      </c>
      <c r="L14" s="60">
        <f>((D14/C14)-1)*100</f>
        <v/>
      </c>
      <c r="M14" s="60">
        <f>((E14/D14)-1)*100</f>
        <v/>
      </c>
      <c r="N14" s="60">
        <f>((G14/F14)-1)*100</f>
        <v/>
      </c>
      <c r="O14" s="60">
        <f>((H14/G14)-1)*100</f>
        <v/>
      </c>
      <c r="P14" s="60">
        <f>((J14/I14)-1)*100</f>
        <v/>
      </c>
      <c r="Q14" s="60">
        <f>((K14/J14)-1)*100</f>
        <v/>
      </c>
    </row>
    <row r="15">
      <c r="B15" s="29" t="inlineStr">
        <is>
          <t>Eighth Decile</t>
        </is>
      </c>
      <c r="C15" s="30" t="n">
        <v>2639.37</v>
      </c>
      <c r="D15" s="31" t="n">
        <v>2747.98</v>
      </c>
      <c r="E15" s="30" t="n">
        <v>2956.47</v>
      </c>
      <c r="F15" s="32" t="n">
        <v>361.62</v>
      </c>
      <c r="G15" s="33" t="n">
        <v>416.23</v>
      </c>
      <c r="H15" s="34" t="n">
        <v>484.13</v>
      </c>
      <c r="I15" s="59" t="n">
        <v>271.78</v>
      </c>
      <c r="J15" s="59" t="n">
        <v>303.9</v>
      </c>
      <c r="K15" s="59" t="n">
        <v>381.32</v>
      </c>
      <c r="L15" s="60">
        <f>((D15/C15)-1)*100</f>
        <v/>
      </c>
      <c r="M15" s="60">
        <f>((E15/D15)-1)*100</f>
        <v/>
      </c>
      <c r="N15" s="60">
        <f>((G15/F15)-1)*100</f>
        <v/>
      </c>
      <c r="O15" s="60">
        <f>((H15/G15)-1)*100</f>
        <v/>
      </c>
      <c r="P15" s="60">
        <f>((J15/I15)-1)*100</f>
        <v/>
      </c>
      <c r="Q15" s="60">
        <f>((K15/J15)-1)*100</f>
        <v/>
      </c>
    </row>
    <row r="16">
      <c r="B16" s="29" t="inlineStr">
        <is>
          <t>Ninth Decile</t>
        </is>
      </c>
      <c r="C16" s="30" t="n">
        <v>2639.42</v>
      </c>
      <c r="D16" s="31" t="n">
        <v>2748.04</v>
      </c>
      <c r="E16" s="30" t="n">
        <v>2956.05</v>
      </c>
      <c r="F16" s="32" t="n">
        <v>457.16</v>
      </c>
      <c r="G16" s="33" t="n">
        <v>512.54</v>
      </c>
      <c r="H16" s="34" t="n">
        <v>592.12</v>
      </c>
      <c r="I16" s="59" t="n">
        <v>329.12</v>
      </c>
      <c r="J16" s="59" t="n">
        <v>358.34</v>
      </c>
      <c r="K16" s="59" t="n">
        <v>446.75</v>
      </c>
      <c r="L16" s="60">
        <f>((D16/C16)-1)*100</f>
        <v/>
      </c>
      <c r="M16" s="60">
        <f>((E16/D16)-1)*100</f>
        <v/>
      </c>
      <c r="N16" s="60">
        <f>((G16/F16)-1)*100</f>
        <v/>
      </c>
      <c r="O16" s="60">
        <f>((H16/G16)-1)*100</f>
        <v/>
      </c>
      <c r="P16" s="60">
        <f>((J16/I16)-1)*100</f>
        <v/>
      </c>
      <c r="Q16" s="60">
        <f>((K16/J16)-1)*100</f>
        <v/>
      </c>
    </row>
    <row r="17" ht="15.75" customHeight="1" thickBot="1">
      <c r="B17" s="37" t="inlineStr">
        <is>
          <t>Tenth Decile</t>
        </is>
      </c>
      <c r="C17" s="38" t="n">
        <v>2640.47</v>
      </c>
      <c r="D17" s="39" t="n">
        <v>2748.06</v>
      </c>
      <c r="E17" s="38" t="n">
        <v>2956.53</v>
      </c>
      <c r="F17" s="40" t="n">
        <v>813.91</v>
      </c>
      <c r="G17" s="41" t="n">
        <v>895.47</v>
      </c>
      <c r="H17" s="42" t="n">
        <v>1035.41</v>
      </c>
      <c r="I17" s="61" t="n">
        <v>511.75</v>
      </c>
      <c r="J17" s="61" t="n">
        <v>545.66</v>
      </c>
      <c r="K17" s="61" t="n">
        <v>693.8099999999999</v>
      </c>
      <c r="L17" s="62">
        <f>((D17/C17)-1)*100</f>
        <v/>
      </c>
      <c r="M17" s="62">
        <f>((E17/D17)-1)*100</f>
        <v/>
      </c>
      <c r="N17" s="62">
        <f>((G17/F17)-1)*100</f>
        <v/>
      </c>
      <c r="O17" s="62">
        <f>((H17/G17)-1)*100</f>
        <v/>
      </c>
      <c r="P17" s="62">
        <f>((J17/I17)-1)*100</f>
        <v/>
      </c>
      <c r="Q17" s="62">
        <f>((K17/J17)-1)*100</f>
        <v/>
      </c>
    </row>
    <row r="18">
      <c r="B18" s="45" t="inlineStr">
        <is>
          <t>P - Estimates are preliminary and may change</t>
        </is>
      </c>
      <c r="C18" s="46" t="n"/>
      <c r="D18" s="47" t="n"/>
      <c r="E18" s="46" t="n"/>
      <c r="F18" s="46" t="n"/>
      <c r="G18" s="46" t="n"/>
      <c r="H18" s="48" t="n"/>
      <c r="I18" s="60" t="n"/>
      <c r="J18" s="60" t="n"/>
    </row>
    <row r="19">
      <c r="B19" s="45" t="inlineStr">
        <is>
          <t>Note: Income deciles are based on the average annual per capita income in 2025, with the 1st  income decile having the lowest average annual per capita income and the 10th  income decile having the highest average annual per capita income.</t>
        </is>
      </c>
      <c r="C19" s="46" t="n"/>
      <c r="D19" s="47" t="n"/>
      <c r="E19" s="46" t="n"/>
      <c r="F19" s="46" t="n"/>
      <c r="G19" s="46" t="n"/>
      <c r="H19" s="48" t="n"/>
      <c r="I19" s="60" t="n"/>
      <c r="J19" s="60" t="n"/>
    </row>
    <row r="20">
      <c r="B20" s="45" t="inlineStr">
        <is>
          <t>Source: Family Income and Expenditure Survey, Philippine Statistics Authority</t>
        </is>
      </c>
    </row>
    <row r="21" ht="15.75" customHeight="1">
      <c r="B21" s="45" t="n"/>
    </row>
    <row r="22" ht="15.75" customHeight="1">
      <c r="B22" s="45" t="n"/>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P4:Q4"/>
    <mergeCell ref="L4:M4"/>
    <mergeCell ref="C4:C5"/>
    <mergeCell ref="G4:G5"/>
    <mergeCell ref="D4:D5"/>
    <mergeCell ref="J4:J5"/>
    <mergeCell ref="H4:H5"/>
    <mergeCell ref="I4:I5"/>
    <mergeCell ref="K4:K5"/>
    <mergeCell ref="B1:Q1"/>
    <mergeCell ref="E4:E5"/>
    <mergeCell ref="C3:E3"/>
    <mergeCell ref="F4:F5"/>
    <mergeCell ref="B3:B5"/>
    <mergeCell ref="L3:Q3"/>
    <mergeCell ref="I3:K3"/>
    <mergeCell ref="F3:H3"/>
    <mergeCell ref="N4:O4"/>
  </mergeCells>
  <conditionalFormatting sqref="I7:J19">
    <cfRule type="cellIs" priority="1" operator="lessThan" dxfId="0">
      <formula>0</formula>
    </cfRule>
  </conditionalFormatting>
  <conditionalFormatting sqref="K7:Q17">
    <cfRule type="cellIs" priority="2" operator="lessThan" dxfId="0">
      <formula>0</formula>
    </cfRule>
  </conditionalFormatting>
  <pageMargins left="0.3937007874015748" right="0.1968503937007874" top="0.3149606299212598" bottom="0.2755905511811024"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OLIVER TUNGOL</dc:creator>
  <dcterms:created xsi:type="dcterms:W3CDTF">2026-08-25T07:38:06Z</dcterms:created>
  <dcterms:modified xsi:type="dcterms:W3CDTF">2026-09-25T02:38:18Z</dcterms:modified>
  <cp:lastModifiedBy>OLIVER TUNGOL</cp:lastModifiedBy>
</cp:coreProperties>
</file>